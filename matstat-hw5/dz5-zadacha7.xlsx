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дача 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Из условия: выборки по 20 изделий.</t>
        </r>
      </text>
    </comment>
  </commentList>
</comments>
</file>

<file path=xl/sharedStrings.xml><?xml version="1.0" encoding="utf-8"?>
<sst xmlns="http://schemas.openxmlformats.org/spreadsheetml/2006/main" count="19" uniqueCount="19">
  <si>
    <t xml:space="preserve">ДЗ №5, задача 7 (9.6). Число бракованных изделий в 50 выборках по 20 изделий</t>
  </si>
  <si>
    <t xml:space="preserve">Исходные данные (из условия задачи)</t>
  </si>
  <si>
    <t xml:space="preserve">Число выборок N</t>
  </si>
  <si>
    <t xml:space="preserve">Изделий в выборке n</t>
  </si>
  <si>
    <t xml:space="preserve">из условия задачи</t>
  </si>
  <si>
    <t xml:space="preserve">Σ xᵢ</t>
  </si>
  <si>
    <t xml:space="preserve">x̄ = Σxᵢ / N</t>
  </si>
  <si>
    <t xml:space="preserve">p* = x̄ / n</t>
  </si>
  <si>
    <t xml:space="preserve">оценка p по методу моментов: M(X) = np</t>
  </si>
  <si>
    <t xml:space="preserve">q* = 1 − p*</t>
  </si>
  <si>
    <t xml:space="preserve">xᵢ</t>
  </si>
  <si>
    <t xml:space="preserve">mᵢ (ЧАСТОТА)</t>
  </si>
  <si>
    <t xml:space="preserve">xᵢ · mᵢ</t>
  </si>
  <si>
    <t xml:space="preserve">P₂₀(xᵢ)</t>
  </si>
  <si>
    <t xml:space="preserve">mᵢᵀ = N · P₂₀(xᵢ)</t>
  </si>
  <si>
    <t xml:space="preserve">Σ</t>
  </si>
  <si>
    <t xml:space="preserve">mᵢ считаются функцией ЧАСТОТА (FREQUENCY) как формула массива по границам 0…7; последнее значение — число выборок с xᵢ &gt; 7, т.е. «8 и более».</t>
  </si>
  <si>
    <t xml:space="preserve">P₂₀(xᵢ) = C₂₀ˣ · p*ˣ · q*²⁰⁻ˣ — функция БИНОМРАСП (BINOMDIST); в последней строке 1 − P(X ≤ 7).</t>
  </si>
  <si>
    <t xml:space="preserve">Синие ячейки на жёлтом фоне — исходные данные; остальное считается формулами.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</si>
</sst>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0.0000"/>
    <numFmt numFmtId="168" formatCode="0&quot; и более&quot;"/>
    <numFmt numFmtId="169" formatCode="@"/>
    <numFmt numFmtId="170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9DB"/>
        <bgColor rgb="FFE8EEF8"/>
      </patternFill>
    </fill>
    <fill>
      <patternFill patternType="solid">
        <fgColor rgb="FFE8EEF8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B4CC"/>
      </left>
      <right style="thin">
        <color rgb="FFA6B4CC"/>
      </right>
      <top style="thin">
        <color rgb="FFA6B4CC"/>
      </top>
      <bottom style="thin">
        <color rgb="FFA6B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B4CC"/>
      <rgbColor rgb="FF878787"/>
      <rgbColor rgb="FF9999FF"/>
      <rgbColor rgb="FF993366"/>
      <rgbColor rgb="FFFFF9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A1E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447A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Эмпирические и теоретические частоты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"mᵢ — эмпирические частоты"</c:f>
              <c:strCache>
                <c:ptCount val="1"/>
                <c:pt idx="0">
                  <c:v>mᵢ — эмпирические частоты</c:v>
                </c:pt>
              </c:strCache>
            </c:strRef>
          </c:tx>
          <c:spPr>
            <a:solidFill>
              <a:srgbClr val="2447a8"/>
            </a:solidFill>
            <a:ln w="0">
              <a:solidFill>
                <a:srgbClr val="2447a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'Задача 7'!$A$18:$A$26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 и более</c:v>
                </c:pt>
              </c:strCache>
            </c:strRef>
          </c:cat>
          <c:val>
            <c:numRef>
              <c:f>'Задача 7'!$B$18:$B$26</c:f>
              <c:numCache>
                <c:formatCode>General</c:formatCode>
                <c:ptCount val="9"/>
                <c:pt idx="0">
                  <c:v>1</c:v>
                </c:pt>
                <c:pt idx="1">
                  <c:v>15</c:v>
                </c:pt>
                <c:pt idx="2">
                  <c:v>18</c:v>
                </c:pt>
                <c:pt idx="3">
                  <c:v>10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</c:ser>
        <c:ser>
          <c:idx val="1"/>
          <c:order val="1"/>
          <c:tx>
            <c:strRef>
              <c:f>"mᵢᵀ — теоретические частоты (биномиальный закон)"</c:f>
              <c:strCache>
                <c:ptCount val="1"/>
                <c:pt idx="0">
                  <c:v>mᵢᵀ — теоретические частоты (биномиальный закон)</c:v>
                </c:pt>
              </c:strCache>
            </c:strRef>
          </c:tx>
          <c:spPr>
            <a:solidFill>
              <a:srgbClr val="d97a1e"/>
            </a:solidFill>
            <a:ln w="0">
              <a:solidFill>
                <a:srgbClr val="d97a1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'Задача 7'!$A$18:$A$26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 и более</c:v>
                </c:pt>
              </c:strCache>
            </c:strRef>
          </c:cat>
          <c:val>
            <c:numRef>
              <c:f>'Задача 7'!$E$18:$E$26</c:f>
              <c:numCache>
                <c:formatCode>0.00</c:formatCode>
                <c:ptCount val="9"/>
                <c:pt idx="0">
                  <c:v>4.86149828895425</c:v>
                </c:pt>
                <c:pt idx="1">
                  <c:v>12.0171867816847</c:v>
                </c:pt>
                <c:pt idx="2">
                  <c:v>14.1100676256859</c:v>
                </c:pt>
                <c:pt idx="3">
                  <c:v>10.4636456550031</c:v>
                </c:pt>
                <c:pt idx="4">
                  <c:v>5.49635319518419</c:v>
                </c:pt>
                <c:pt idx="5">
                  <c:v>2.17383856708408</c:v>
                </c:pt>
                <c:pt idx="6">
                  <c:v>0.671691692076543</c:v>
                </c:pt>
                <c:pt idx="7">
                  <c:v>0.16603614860319</c:v>
                </c:pt>
                <c:pt idx="8">
                  <c:v>0.0396820457240765</c:v>
                </c:pt>
              </c:numCache>
            </c:numRef>
          </c:val>
        </c:ser>
        <c:gapWidth val="80"/>
        <c:overlap val="0"/>
        <c:axId val="77773800"/>
        <c:axId val="12774188"/>
      </c:barChart>
      <c:catAx>
        <c:axId val="777738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— число бракованных изделий в выборке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74188"/>
        <c:crosses val="autoZero"/>
        <c:auto val="1"/>
        <c:lblAlgn val="ctr"/>
        <c:lblOffset val="100"/>
        <c:noMultiLvlLbl val="0"/>
      </c:catAx>
      <c:valAx>
        <c:axId val="12774188"/>
        <c:scaling>
          <c:orientation val="minMax"/>
          <c:max val="2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Частота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73800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8</xdr:row>
      <xdr:rowOff>176040</xdr:rowOff>
    </xdr:from>
    <xdr:to>
      <xdr:col>15</xdr:col>
      <xdr:colOff>156960</xdr:colOff>
      <xdr:row>25</xdr:row>
      <xdr:rowOff>147600</xdr:rowOff>
    </xdr:to>
    <xdr:graphicFrame>
      <xdr:nvGraphicFramePr>
        <xdr:cNvPr id="0" name="Chart 1"/>
        <xdr:cNvGraphicFramePr/>
      </xdr:nvGraphicFramePr>
      <xdr:xfrm>
        <a:off x="5568480" y="1714680"/>
        <a:ext cx="64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1" min="2" style="0" width="11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B4" s="3" t="n">
        <v>1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2</v>
      </c>
      <c r="I4" s="3" t="n">
        <v>2</v>
      </c>
      <c r="J4" s="3" t="n">
        <v>3</v>
      </c>
      <c r="K4" s="3" t="n">
        <v>3</v>
      </c>
    </row>
    <row r="5" customFormat="false" ht="15" hidden="false" customHeight="false" outlineLevel="0" collapsed="false">
      <c r="B5" s="3" t="n">
        <v>2</v>
      </c>
      <c r="C5" s="3" t="n">
        <v>1</v>
      </c>
      <c r="D5" s="3" t="n">
        <v>0</v>
      </c>
      <c r="E5" s="3" t="n">
        <v>2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1</v>
      </c>
    </row>
    <row r="6" customFormat="false" ht="15" hidden="false" customHeight="false" outlineLevel="0" collapsed="false">
      <c r="B6" s="3" t="n">
        <v>4</v>
      </c>
      <c r="C6" s="3" t="n">
        <v>2</v>
      </c>
      <c r="D6" s="3" t="n">
        <v>4</v>
      </c>
      <c r="E6" s="3" t="n">
        <v>1</v>
      </c>
      <c r="F6" s="3" t="n">
        <v>1</v>
      </c>
      <c r="G6" s="3" t="n">
        <v>5</v>
      </c>
      <c r="H6" s="3" t="n">
        <v>2</v>
      </c>
      <c r="I6" s="3" t="n">
        <v>2</v>
      </c>
      <c r="J6" s="3" t="n">
        <v>2</v>
      </c>
      <c r="K6" s="3" t="n">
        <v>1</v>
      </c>
    </row>
    <row r="7" customFormat="false" ht="15" hidden="false" customHeight="false" outlineLevel="0" collapsed="false">
      <c r="B7" s="3" t="n">
        <v>3</v>
      </c>
      <c r="C7" s="3" t="n">
        <v>3</v>
      </c>
      <c r="D7" s="3" t="n">
        <v>8</v>
      </c>
      <c r="E7" s="3" t="n">
        <v>2</v>
      </c>
      <c r="F7" s="3" t="n">
        <v>3</v>
      </c>
      <c r="G7" s="3" t="n">
        <v>1</v>
      </c>
      <c r="H7" s="3" t="n">
        <v>3</v>
      </c>
      <c r="I7" s="3" t="n">
        <v>3</v>
      </c>
      <c r="J7" s="3" t="n">
        <v>1</v>
      </c>
      <c r="K7" s="3" t="n">
        <v>3</v>
      </c>
    </row>
    <row r="8" customFormat="false" ht="15" hidden="false" customHeight="false" outlineLevel="0" collapsed="false">
      <c r="B8" s="3" t="n">
        <v>2</v>
      </c>
      <c r="C8" s="3" t="n">
        <v>4</v>
      </c>
      <c r="D8" s="3" t="n">
        <v>4</v>
      </c>
      <c r="E8" s="3" t="n">
        <v>3</v>
      </c>
      <c r="F8" s="3" t="n">
        <v>1</v>
      </c>
      <c r="G8" s="3" t="n">
        <v>3</v>
      </c>
      <c r="H8" s="3" t="n">
        <v>2</v>
      </c>
      <c r="I8" s="3" t="n">
        <v>1</v>
      </c>
      <c r="J8" s="3" t="n">
        <v>2</v>
      </c>
      <c r="K8" s="3" t="n">
        <v>1</v>
      </c>
    </row>
    <row r="10" customFormat="false" ht="15" hidden="false" customHeight="false" outlineLevel="0" collapsed="false">
      <c r="A10" s="4" t="s">
        <v>2</v>
      </c>
      <c r="B10" s="5" t="n">
        <f aca="false">COUNT($B$4:$K$8)</f>
        <v>50</v>
      </c>
    </row>
    <row r="11" customFormat="false" ht="15" hidden="false" customHeight="false" outlineLevel="0" collapsed="false">
      <c r="A11" s="4" t="s">
        <v>3</v>
      </c>
      <c r="B11" s="6" t="n">
        <v>20</v>
      </c>
      <c r="C11" s="7" t="s">
        <v>4</v>
      </c>
    </row>
    <row r="12" customFormat="false" ht="15" hidden="false" customHeight="false" outlineLevel="0" collapsed="false">
      <c r="A12" s="4" t="s">
        <v>5</v>
      </c>
      <c r="B12" s="5" t="n">
        <f aca="false">SUM($B$4:$K$8)</f>
        <v>110</v>
      </c>
    </row>
    <row r="13" customFormat="false" ht="15" hidden="false" customHeight="false" outlineLevel="0" collapsed="false">
      <c r="A13" s="4" t="s">
        <v>6</v>
      </c>
      <c r="B13" s="8" t="n">
        <f aca="false">B12/B10</f>
        <v>2.2</v>
      </c>
    </row>
    <row r="14" customFormat="false" ht="15" hidden="false" customHeight="false" outlineLevel="0" collapsed="false">
      <c r="A14" s="4" t="s">
        <v>7</v>
      </c>
      <c r="B14" s="9" t="n">
        <f aca="false">B13/B11</f>
        <v>0.11</v>
      </c>
      <c r="C14" s="7" t="s">
        <v>8</v>
      </c>
    </row>
    <row r="15" customFormat="false" ht="15" hidden="false" customHeight="false" outlineLevel="0" collapsed="false">
      <c r="A15" s="4" t="s">
        <v>9</v>
      </c>
      <c r="B15" s="8" t="n">
        <f aca="false">1-B14</f>
        <v>0.89</v>
      </c>
    </row>
    <row r="17" customFormat="false" ht="31.5" hidden="false" customHeight="true" outlineLevel="0" collapsed="false">
      <c r="A17" s="10" t="s">
        <v>10</v>
      </c>
      <c r="B17" s="10" t="s">
        <v>11</v>
      </c>
      <c r="C17" s="10" t="s">
        <v>12</v>
      </c>
      <c r="D17" s="10" t="s">
        <v>13</v>
      </c>
      <c r="E17" s="10" t="s">
        <v>14</v>
      </c>
    </row>
    <row r="18" customFormat="false" ht="15" hidden="false" customHeight="false" outlineLevel="0" collapsed="false">
      <c r="A18" s="11" t="n">
        <v>0</v>
      </c>
      <c r="B18" s="11" t="n">
        <f aca="false" t="array" ref="B18:B26">FREQUENCY($B$4:$K$8,$A$18:$A$25)</f>
        <v>1</v>
      </c>
      <c r="C18" s="11" t="n">
        <f aca="false">A18*B18</f>
        <v>0</v>
      </c>
      <c r="D18" s="12" t="n">
        <f aca="false">BINOMDIST(A18,$B$11,$B$14,FALSE())</f>
        <v>0.0972299657790851</v>
      </c>
      <c r="E18" s="8" t="n">
        <f aca="false">$B$10*D18</f>
        <v>4.86149828895425</v>
      </c>
    </row>
    <row r="19" customFormat="false" ht="15" hidden="false" customHeight="false" outlineLevel="0" collapsed="false">
      <c r="A19" s="11" t="n">
        <v>1</v>
      </c>
      <c r="B19" s="11" t="n">
        <v>15</v>
      </c>
      <c r="C19" s="11" t="n">
        <f aca="false">A19*B19</f>
        <v>15</v>
      </c>
      <c r="D19" s="12" t="n">
        <f aca="false">BINOMDIST(A19,$B$11,$B$14,FALSE())</f>
        <v>0.240343735633693</v>
      </c>
      <c r="E19" s="8" t="n">
        <f aca="false">$B$10*D19</f>
        <v>12.0171867816847</v>
      </c>
    </row>
    <row r="20" customFormat="false" ht="15" hidden="false" customHeight="false" outlineLevel="0" collapsed="false">
      <c r="A20" s="11" t="n">
        <v>2</v>
      </c>
      <c r="B20" s="11" t="n">
        <v>18</v>
      </c>
      <c r="C20" s="11" t="n">
        <f aca="false">A20*B20</f>
        <v>36</v>
      </c>
      <c r="D20" s="12" t="n">
        <f aca="false">BINOMDIST(A20,$B$11,$B$14,FALSE())</f>
        <v>0.282201352513719</v>
      </c>
      <c r="E20" s="8" t="n">
        <f aca="false">$B$10*D20</f>
        <v>14.1100676256859</v>
      </c>
    </row>
    <row r="21" customFormat="false" ht="15" hidden="false" customHeight="false" outlineLevel="0" collapsed="false">
      <c r="A21" s="11" t="n">
        <v>3</v>
      </c>
      <c r="B21" s="11" t="n">
        <v>10</v>
      </c>
      <c r="C21" s="11" t="n">
        <f aca="false">A21*B21</f>
        <v>30</v>
      </c>
      <c r="D21" s="12" t="n">
        <f aca="false">BINOMDIST(A21,$B$11,$B$14,FALSE())</f>
        <v>0.209272913100061</v>
      </c>
      <c r="E21" s="8" t="n">
        <f aca="false">$B$10*D21</f>
        <v>10.4636456550031</v>
      </c>
    </row>
    <row r="22" customFormat="false" ht="15" hidden="false" customHeight="false" outlineLevel="0" collapsed="false">
      <c r="A22" s="11" t="n">
        <v>4</v>
      </c>
      <c r="B22" s="11" t="n">
        <v>4</v>
      </c>
      <c r="C22" s="11" t="n">
        <f aca="false">A22*B22</f>
        <v>16</v>
      </c>
      <c r="D22" s="12" t="n">
        <f aca="false">BINOMDIST(A22,$B$11,$B$14,FALSE())</f>
        <v>0.109927063903684</v>
      </c>
      <c r="E22" s="8" t="n">
        <f aca="false">$B$10*D22</f>
        <v>5.49635319518419</v>
      </c>
    </row>
    <row r="23" customFormat="false" ht="15" hidden="false" customHeight="false" outlineLevel="0" collapsed="false">
      <c r="A23" s="11" t="n">
        <v>5</v>
      </c>
      <c r="B23" s="11" t="n">
        <v>1</v>
      </c>
      <c r="C23" s="11" t="n">
        <f aca="false">A23*B23</f>
        <v>5</v>
      </c>
      <c r="D23" s="12" t="n">
        <f aca="false">BINOMDIST(A23,$B$11,$B$14,FALSE())</f>
        <v>0.0434767713416817</v>
      </c>
      <c r="E23" s="8" t="n">
        <f aca="false">$B$10*D23</f>
        <v>2.17383856708408</v>
      </c>
    </row>
    <row r="24" customFormat="false" ht="15" hidden="false" customHeight="false" outlineLevel="0" collapsed="false">
      <c r="A24" s="11" t="n">
        <v>6</v>
      </c>
      <c r="B24" s="11" t="n">
        <v>0</v>
      </c>
      <c r="C24" s="11" t="n">
        <f aca="false">A24*B24</f>
        <v>0</v>
      </c>
      <c r="D24" s="12" t="n">
        <f aca="false">BINOMDIST(A24,$B$11,$B$14,FALSE())</f>
        <v>0.0134338338415309</v>
      </c>
      <c r="E24" s="8" t="n">
        <f aca="false">$B$10*D24</f>
        <v>0.671691692076543</v>
      </c>
    </row>
    <row r="25" customFormat="false" ht="15" hidden="false" customHeight="false" outlineLevel="0" collapsed="false">
      <c r="A25" s="11" t="n">
        <v>7</v>
      </c>
      <c r="B25" s="11" t="n">
        <v>0</v>
      </c>
      <c r="C25" s="11" t="n">
        <f aca="false">A25*B25</f>
        <v>0</v>
      </c>
      <c r="D25" s="12" t="n">
        <f aca="false">BINOMDIST(A25,$B$11,$B$14,FALSE())</f>
        <v>0.00332072297206381</v>
      </c>
      <c r="E25" s="8" t="n">
        <f aca="false">$B$10*D25</f>
        <v>0.16603614860319</v>
      </c>
    </row>
    <row r="26" customFormat="false" ht="15" hidden="false" customHeight="false" outlineLevel="0" collapsed="false">
      <c r="A26" s="13" t="n">
        <v>8</v>
      </c>
      <c r="B26" s="11" t="n">
        <v>1</v>
      </c>
      <c r="C26" s="11" t="n">
        <f aca="false">SUMIF($B$4:$K$8,"&gt;="&amp;A26)</f>
        <v>8</v>
      </c>
      <c r="D26" s="12" t="n">
        <f aca="false">1-BINOMDIST(A26-1,$B$11,$B$14,TRUE())</f>
        <v>0.00079364091448153</v>
      </c>
      <c r="E26" s="8" t="n">
        <f aca="false">$B$10*D26</f>
        <v>0.0396820457240765</v>
      </c>
    </row>
    <row r="27" customFormat="false" ht="15" hidden="false" customHeight="false" outlineLevel="0" collapsed="false">
      <c r="A27" s="14" t="s">
        <v>15</v>
      </c>
      <c r="B27" s="15" t="n">
        <f aca="false">SUM(B18:B26)</f>
        <v>50</v>
      </c>
      <c r="C27" s="15" t="n">
        <f aca="false">SUM(C18:C26)</f>
        <v>110</v>
      </c>
      <c r="D27" s="16" t="n">
        <f aca="false">SUM(D18:D26)</f>
        <v>1</v>
      </c>
      <c r="E27" s="9" t="n">
        <f aca="false">SUM(E18:E26)</f>
        <v>50</v>
      </c>
    </row>
    <row r="29" customFormat="false" ht="15" hidden="false" customHeight="false" outlineLevel="0" collapsed="false">
      <c r="A29" s="7" t="s">
        <v>16</v>
      </c>
    </row>
    <row r="30" customFormat="false" ht="15" hidden="false" customHeight="false" outlineLevel="0" collapsed="false">
      <c r="A30" s="7" t="s">
        <v>17</v>
      </c>
    </row>
    <row r="31" customFormat="false" ht="15" hidden="false" customHeight="false" outlineLevel="0" collapsed="false">
      <c r="A31" s="7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2026-10-06T07:17:28Z</dcterms:created>
  <dc:creator>openpyxl</dc:creator>
  <dc:description/>
  <dc:language>en-US</dc:language>
  <cp:lastModifiedBy/>
  <dcterms:modified xsi:type="dcterms:W3CDTF">2026-10-06T07:17:30Z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